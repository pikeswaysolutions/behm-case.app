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1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P:\Accounting\Director Sales\"/>
    </mc:Choice>
  </mc:AlternateContent>
  <xr:revisionPtr revIDLastSave="0" documentId="8_{9577782D-C591-4B4C-99FA-3A7AA1013FA4}" xr6:coauthVersionLast="47" xr6:coauthVersionMax="47" xr10:uidLastSave="{00000000-0000-0000-0000-000000000000}"/>
  <bookViews>
    <workbookView xWindow="-120" yWindow="-120" windowWidth="29040" windowHeight="15720" tabRatio="665" xr2:uid="{00000000-000D-0000-FFFF-FFFF00000000}"/>
  </bookViews>
  <sheets>
    <sheet name="Sheet1" sheetId="13" r:id="rId1"/>
  </sheets>
  <definedNames>
    <definedName name="_xlcn.WorksheetConnection_Data6" hidden="1">Data6</definedName>
    <definedName name="FuneralDirectors">#REF!</definedName>
    <definedName name="ServiceTyp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6" name="Data6" connection="WorksheetConnection_Data6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" i="13" l="1"/>
  <c r="L6" i="13"/>
  <c r="K6" i="13"/>
  <c r="M5" i="13"/>
  <c r="L5" i="13"/>
  <c r="K5" i="13"/>
  <c r="M4" i="13"/>
  <c r="L4" i="13"/>
  <c r="K4" i="13"/>
  <c r="M3" i="13"/>
  <c r="L3" i="13"/>
  <c r="K3" i="13"/>
  <c r="M2" i="13"/>
  <c r="L2" i="13"/>
  <c r="K2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C3A52EF-3266-4075-90D9-F399F8714E8B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130AD28-5478-4197-B6E3-62AA9390371D}" name="WorksheetConnection_Data6" type="102" refreshedVersion="7" minRefreshableVersion="5">
    <extLst>
      <ext xmlns:x15="http://schemas.microsoft.com/office/spreadsheetml/2010/11/main" uri="{DE250136-89BD-433C-8126-D09CA5730AF9}">
        <x15:connection id="Data6">
          <x15:rangePr sourceName="_xlcn.WorksheetConnection_Data6"/>
        </x15:connection>
      </ext>
    </extLst>
  </connection>
</connections>
</file>

<file path=xl/sharedStrings.xml><?xml version="1.0" encoding="utf-8"?>
<sst xmlns="http://schemas.openxmlformats.org/spreadsheetml/2006/main" count="43" uniqueCount="34">
  <si>
    <t>Case Number</t>
  </si>
  <si>
    <t>Sale Type</t>
  </si>
  <si>
    <t>Director</t>
  </si>
  <si>
    <t>Date of Death</t>
  </si>
  <si>
    <t>Customer First Name</t>
  </si>
  <si>
    <t>Customer Last Name</t>
  </si>
  <si>
    <t>Service Type</t>
  </si>
  <si>
    <t>Total Sales</t>
  </si>
  <si>
    <t>Payments Received to date</t>
  </si>
  <si>
    <t>Date PIF</t>
  </si>
  <si>
    <t>Aging</t>
  </si>
  <si>
    <t>Balance Due</t>
  </si>
  <si>
    <t>Date Entered</t>
  </si>
  <si>
    <t>17M001A</t>
  </si>
  <si>
    <t>A</t>
  </si>
  <si>
    <t>John</t>
  </si>
  <si>
    <t>Baby Henry</t>
  </si>
  <si>
    <t>Marlow</t>
  </si>
  <si>
    <t>Cremation</t>
  </si>
  <si>
    <t>17M002</t>
  </si>
  <si>
    <t>Stephanie</t>
  </si>
  <si>
    <t>Josephine</t>
  </si>
  <si>
    <t>Krukowski</t>
  </si>
  <si>
    <t>17M004</t>
  </si>
  <si>
    <t>Trevor</t>
  </si>
  <si>
    <t>Sarah</t>
  </si>
  <si>
    <t>Skoch</t>
  </si>
  <si>
    <t>Burial</t>
  </si>
  <si>
    <t>17M003</t>
  </si>
  <si>
    <t>Albert</t>
  </si>
  <si>
    <t>Winfield</t>
  </si>
  <si>
    <t>17M005</t>
  </si>
  <si>
    <t xml:space="preserve">Myra </t>
  </si>
  <si>
    <t>Clingerman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</si>
</sst>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5" formatCode="mm/dd/yyyy"/>
  </numFmts>
  <fonts count="3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14" fontId="1" fillId="0" borderId="0" xfId="0" applyNumberFormat="1" applyFont="1"/>
    <xf numFmtId="0" fontId="1" fillId="0" borderId="0" xfId="0" applyFont="1" applyAlignment="1">
      <alignment horizontal="left"/>
    </xf>
    <xf numFmtId="1" fontId="2" fillId="2" borderId="0" xfId="0" applyNumberFormat="1" applyFont="1" applyFill="1"/>
    <xf numFmtId="14" fontId="2" fillId="2" borderId="0" xfId="0" applyNumberFormat="1" applyFont="1" applyFill="1"/>
    <xf numFmtId="1" fontId="2" fillId="2" borderId="2" xfId="0" applyNumberFormat="1" applyFont="1" applyFill="1" applyBorder="1"/>
    <xf numFmtId="165" fontId="2" fillId="2" borderId="3" xfId="0" applyNumberFormat="1" applyFont="1" applyFill="1" applyBorder="1"/>
    <xf numFmtId="0" fontId="1" fillId="0" borderId="2" xfId="0" applyFont="1" applyBorder="1" applyAlignment="1">
      <alignment horizontal="left"/>
    </xf>
    <xf numFmtId="2" fontId="1" fillId="0" borderId="0" xfId="0" applyNumberFormat="1" applyFont="1"/>
    <xf numFmtId="2" fontId="0" fillId="0" borderId="0" xfId="0" applyNumberFormat="1"/>
    <xf numFmtId="2" fontId="2" fillId="2" borderId="0" xfId="0" applyNumberFormat="1" applyFont="1" applyFill="1"/>
    <xf numFmtId="2" fontId="2" fillId="2" borderId="2" xfId="0" applyNumberFormat="1" applyFont="1" applyFill="1" applyBorder="1"/>
    <xf numFmtId="0" fontId="1" fillId="0" borderId="1" xfId="0" applyFont="1" applyBorder="1" applyAlignment="1">
      <alignment horizontal="left"/>
    </xf>
    <xf numFmtId="0" fontId="1" fillId="0" borderId="2" xfId="0" applyFont="1" applyBorder="1"/>
    <xf numFmtId="165" fontId="1" fillId="0" borderId="2" xfId="0" applyNumberFormat="1" applyFont="1" applyBorder="1"/>
    <xf numFmtId="2" fontId="1" fillId="0" borderId="2" xfId="0" applyNumberFormat="1" applyFont="1" applyBorder="1"/>
  </cellXfs>
  <cellStyles count="1">
    <cellStyle name="Normal" xfId="0" builtinId="0"/>
  </cellStyles>
  <dxfs count="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5" formatCode="mm/dd/yyyy"/>
      <fill>
        <patternFill patternType="solid">
          <fgColor indexed="64"/>
          <bgColor theme="4" tint="-0.499984740745262"/>
        </patternFill>
      </fill>
    </dxf>
    <dxf>
      <font>
        <strike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4" tint="-0.499984740745262"/>
        </patternFill>
      </fill>
    </dxf>
    <dxf>
      <font>
        <strike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4" tint="-0.499984740745262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mm/dd/yyyy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mm/dd/yyyy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ont>
        <sz val="9"/>
        <color theme="1"/>
      </font>
      <border>
        <vertical/>
        <horizontal/>
      </border>
    </dxf>
    <dxf>
      <font>
        <sz val="9"/>
        <color theme="1"/>
        <name val="Segoe UI"/>
        <family val="2"/>
        <scheme val="none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sz val="9"/>
        <color theme="1"/>
        <name val="Segoe UI"/>
        <family val="2"/>
        <scheme val="none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 patternType="solid">
          <fgColor theme="9" tint="0.79998168889431442"/>
          <bgColor theme="9" tint="0.79998168889431442"/>
        </patternFill>
      </fill>
    </dxf>
    <dxf>
      <fill>
        <patternFill patternType="solid">
          <fgColor theme="9" tint="0.79998168889431442"/>
          <bgColor theme="9" tint="0.79998168889431442"/>
        </patternFill>
      </fill>
    </dxf>
    <dxf>
      <font>
        <b/>
        <color theme="1"/>
      </font>
      <fill>
        <patternFill patternType="solid">
          <fgColor theme="9" tint="0.79998168889431442"/>
          <bgColor theme="9" tint="0.79998168889431442"/>
        </patternFill>
      </fill>
    </dxf>
    <dxf>
      <font>
        <b/>
        <color theme="1"/>
      </font>
      <fill>
        <patternFill patternType="solid">
          <fgColor theme="9" tint="0.59999389629810485"/>
          <bgColor theme="9" tint="0.59999389629810485"/>
        </patternFill>
      </fill>
    </dxf>
    <dxf>
      <border>
        <left style="thin">
          <color theme="9" tint="0.39997558519241921"/>
        </left>
        <right style="thin">
          <color theme="9" tint="0.39997558519241921"/>
        </right>
      </border>
    </dxf>
    <dxf>
      <border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  <dxf>
      <font>
        <b/>
        <color theme="1"/>
      </font>
      <border>
        <top style="thin">
          <color theme="9" tint="-0.249977111117893"/>
        </top>
        <bottom style="medium">
          <color theme="9" tint="-0.249977111117893"/>
        </bottom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top style="medium">
          <color theme="9" tint="-0.249977111117893"/>
        </top>
      </border>
    </dxf>
    <dxf>
      <font>
        <color theme="1"/>
      </font>
    </dxf>
  </dxfs>
  <tableStyles count="3" defaultTableStyle="TableStyleMedium2" defaultPivotStyle="PivotStyleLight16">
    <tableStyle name="PivotStyleMedium14 2" table="0" count="9" xr9:uid="{00000000-0011-0000-FFFF-FFFF00000000}">
      <tableStyleElement type="wholeTable" dxfId="28"/>
      <tableStyleElement type="headerRow" dxfId="27"/>
      <tableStyleElement type="totalRow" dxfId="26"/>
      <tableStyleElement type="firstRowStripe" dxfId="25"/>
      <tableStyleElement type="firstColumnStripe" dxfId="24"/>
      <tableStyleElement type="firstSubtotalRow" dxfId="23"/>
      <tableStyleElement type="firstRowSubheading" dxfId="22"/>
      <tableStyleElement type="pageFieldLabels" dxfId="21"/>
      <tableStyleElement type="pageFieldValues" dxfId="20"/>
    </tableStyle>
    <tableStyle name="SlicerStyleLight1 2" pivot="0" table="0" count="10" xr9:uid="{00000000-0011-0000-FFFF-FFFF01000000}">
      <tableStyleElement type="wholeTable" dxfId="19"/>
      <tableStyleElement type="headerRow" dxfId="18"/>
    </tableStyle>
    <tableStyle name="TimeSlicerStyleLight1 2" pivot="0" table="0" count="9" xr9:uid="{00000000-0011-0000-FFFF-FFFF02000000}">
      <tableStyleElement type="wholeTable" dxfId="17"/>
      <tableStyleElement type="headerRow" dxfId="16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7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 tint="0.59999389629810485"/>
              </stop>
              <stop position="1">
                <color theme="4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Light1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openxmlformats.org/officeDocument/2006/relationships/customXml" Target="../customXml/item6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12" Type="http://schemas.openxmlformats.org/officeDocument/2006/relationships/customXml" Target="../customXml/item5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powerPivotData" Target="model/item.data"/><Relationship Id="rId11" Type="http://schemas.openxmlformats.org/officeDocument/2006/relationships/customXml" Target="../customXml/item4.xml"/><Relationship Id="rId5" Type="http://schemas.openxmlformats.org/officeDocument/2006/relationships/sharedStrings" Target="sharedStrings.xml"/><Relationship Id="rId15" Type="http://schemas.microsoft.com/office/2006/relationships/vbaProject" Target="vbaProject.bin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Relationship Id="rId14" Type="http://schemas.openxmlformats.org/officeDocument/2006/relationships/customXml" Target="../customXml/item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4B99B61-83C6-429C-89BE-F944A357B60F}" name="Data7" displayName="Data7" ref="A1:M6" totalsRowShown="0" headerRowDxfId="14" dataDxfId="13">
  <autoFilter ref="A1:M6" xr:uid="{D4B99B61-83C6-429C-89BE-F944A357B60F}"/>
  <tableColumns count="13">
    <tableColumn id="1" xr3:uid="{AE55493E-4343-4FB7-A12E-F57A340A3D59}" name="Case Number" dataDxfId="12"/>
    <tableColumn id="13" xr3:uid="{57F0174E-FDA5-41FD-A9D4-4A17562805E9}" name="Sale Type" dataDxfId="11"/>
    <tableColumn id="11" xr3:uid="{E54A2259-D774-4317-BA6B-D1FA76D8F896}" name="Director" dataDxfId="10"/>
    <tableColumn id="2" xr3:uid="{8B139898-92D6-4323-9AA3-6FB955D9F8D1}" name="Date of Death" dataDxfId="9"/>
    <tableColumn id="3" xr3:uid="{B1865F25-E3E7-4483-A760-DD803D165346}" name="Customer First Name" dataDxfId="8"/>
    <tableColumn id="4" xr3:uid="{CCDC1CA5-8544-45B5-852C-F80F97FE4E9D}" name="Customer Last Name" dataDxfId="7"/>
    <tableColumn id="5" xr3:uid="{1911D3E0-2712-4D46-A389-26F31EE3ADF9}" name="Service Type" dataDxfId="6"/>
    <tableColumn id="6" xr3:uid="{7CA409AC-3710-49FB-90FB-34E1936AB5EF}" name="Total Sales" dataDxfId="5"/>
    <tableColumn id="9" xr3:uid="{890BCDD6-EA5A-492E-90FA-22DAA9601AE0}" name="Payments Received to date" dataDxfId="4"/>
    <tableColumn id="7" xr3:uid="{B3BAD2E2-8713-470A-B088-A750780BD100}" name="Date PIF" dataDxfId="3"/>
    <tableColumn id="8" xr3:uid="{19D6E898-19F9-4868-B6DF-890AE11774EB}" name="Aging" dataDxfId="2">
      <calculatedColumnFormula>IF(ISBLANK(Data7[[#This Row],[Date PIF]]) = TRUE,NOW()-Data7[[#This Row],[Date of Death]],Data7[[#This Row],[Date PIF]]-Data7[[#This Row],[Date of Death]])</calculatedColumnFormula>
    </tableColumn>
    <tableColumn id="10" xr3:uid="{BC4B8BB5-972E-46D6-8FD4-34EE3107B6A0}" name="Balance Due" dataDxfId="1">
      <calculatedColumnFormula>Data7[[#This Row],[Total Sales]]-Data7[[#This Row],[Payments Received to date]]</calculatedColumnFormula>
    </tableColumn>
    <tableColumn id="12" xr3:uid="{18A85DD1-2419-46E6-92BA-28BD66814DC5}" name="Date Entered" dataDxfId="0">
      <calculatedColumnFormula>NOW()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F94BE-7DC8-425B-9605-FDD7CC891911}">
  <dimension ref="A1:M6"/>
  <sheetViews>
    <sheetView tabSelected="1" topLeftCell="A2720" workbookViewId="0">
      <selection activeCell="A7" sqref="A7:XFD2743"/>
    </sheetView>
  </sheetViews>
  <sheetFormatPr defaultRowHeight="15"/>
  <cols>
    <col min="4" max="4" width="13.85546875" bestFit="1" customWidth="1"/>
    <col min="5" max="5" width="19.42578125" bestFit="1" customWidth="1"/>
    <col min="8" max="9" width="9.140625" style="10"/>
    <col min="10" max="10" width="11.140625" bestFit="1" customWidth="1"/>
    <col min="11" max="11" width="7.42578125" bestFit="1" customWidth="1"/>
    <col min="12" max="12" width="12.7109375" style="10" bestFit="1" customWidth="1"/>
    <col min="13" max="13" width="13.28515625" bestFit="1" customWidth="1"/>
  </cols>
  <sheetData>
    <row r="1" spans="1:13">
      <c r="A1" s="3" t="s">
        <v>0</v>
      </c>
      <c r="B1" s="3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9" t="s">
        <v>7</v>
      </c>
      <c r="I1" s="9" t="s">
        <v>8</v>
      </c>
      <c r="J1" s="2" t="s">
        <v>9</v>
      </c>
      <c r="K1" s="4" t="s">
        <v>10</v>
      </c>
      <c r="L1" s="11" t="s">
        <v>11</v>
      </c>
      <c r="M1" s="5" t="s">
        <v>12</v>
      </c>
    </row>
    <row r="2" spans="1:13">
      <c r="A2" s="13" t="s">
        <v>13</v>
      </c>
      <c r="B2" s="8" t="s">
        <v>14</v>
      </c>
      <c r="C2" s="14" t="s">
        <v>15</v>
      </c>
      <c r="D2" s="15">
        <v>42738</v>
      </c>
      <c r="E2" s="14" t="s">
        <v>16</v>
      </c>
      <c r="F2" s="14" t="s">
        <v>17</v>
      </c>
      <c r="G2" s="14" t="s">
        <v>18</v>
      </c>
      <c r="H2" s="16">
        <v>67.5</v>
      </c>
      <c r="I2" s="16">
        <v>67.5</v>
      </c>
      <c r="J2" s="15">
        <v>42803</v>
      </c>
      <c r="K2" s="6">
        <f ca="1">IF(ISBLANK(Data7[[#This Row],[Date PIF]]) = TRUE,NOW()-Data7[[#This Row],[Date of Death]],Data7[[#This Row],[Date PIF]]-Data7[[#This Row],[Date of Death]])</f>
        <v>65</v>
      </c>
      <c r="L2" s="12">
        <f>Data7[[#This Row],[Total Sales]]-Data7[[#This Row],[Payments Received to date]]</f>
        <v>0</v>
      </c>
      <c r="M2" s="7">
        <f t="shared" ref="M2:M6" ca="1" si="0">NOW()</f>
        <v>46051.614982638886</v>
      </c>
    </row>
    <row r="3" spans="1:13">
      <c r="A3" s="13" t="s">
        <v>19</v>
      </c>
      <c r="B3" s="8" t="s">
        <v>14</v>
      </c>
      <c r="C3" s="14" t="s">
        <v>20</v>
      </c>
      <c r="D3" s="15">
        <v>42740</v>
      </c>
      <c r="E3" s="14" t="s">
        <v>21</v>
      </c>
      <c r="F3" s="14" t="s">
        <v>22</v>
      </c>
      <c r="G3" s="14" t="s">
        <v>18</v>
      </c>
      <c r="H3" s="16">
        <v>3070.34</v>
      </c>
      <c r="I3" s="16">
        <v>3070.34</v>
      </c>
      <c r="J3" s="15">
        <v>42748</v>
      </c>
      <c r="K3" s="6">
        <f ca="1">IF(ISBLANK(Data7[[#This Row],[Date PIF]]) = TRUE,NOW()-Data7[[#This Row],[Date of Death]],Data7[[#This Row],[Date PIF]]-Data7[[#This Row],[Date of Death]])</f>
        <v>8</v>
      </c>
      <c r="L3" s="12">
        <f>Data7[[#This Row],[Total Sales]]-Data7[[#This Row],[Payments Received to date]]</f>
        <v>0</v>
      </c>
      <c r="M3" s="7">
        <f t="shared" ca="1" si="0"/>
        <v>46051.614982638886</v>
      </c>
    </row>
    <row r="4" spans="1:13">
      <c r="A4" s="13" t="s">
        <v>23</v>
      </c>
      <c r="B4" s="8" t="s">
        <v>14</v>
      </c>
      <c r="C4" s="14" t="s">
        <v>24</v>
      </c>
      <c r="D4" s="15">
        <v>42742</v>
      </c>
      <c r="E4" s="14" t="s">
        <v>25</v>
      </c>
      <c r="F4" s="14" t="s">
        <v>26</v>
      </c>
      <c r="G4" s="14" t="s">
        <v>27</v>
      </c>
      <c r="H4" s="16">
        <v>12270.57</v>
      </c>
      <c r="I4" s="16">
        <v>12270.57</v>
      </c>
      <c r="J4" s="15">
        <v>42765</v>
      </c>
      <c r="K4" s="6">
        <f ca="1">IF(ISBLANK(Data7[[#This Row],[Date PIF]]) = TRUE,NOW()-Data7[[#This Row],[Date of Death]],Data7[[#This Row],[Date PIF]]-Data7[[#This Row],[Date of Death]])</f>
        <v>23</v>
      </c>
      <c r="L4" s="12">
        <f>Data7[[#This Row],[Total Sales]]-Data7[[#This Row],[Payments Received to date]]</f>
        <v>0</v>
      </c>
      <c r="M4" s="7">
        <f t="shared" ca="1" si="0"/>
        <v>46051.614982638886</v>
      </c>
    </row>
    <row r="5" spans="1:13">
      <c r="A5" s="13" t="s">
        <v>28</v>
      </c>
      <c r="B5" s="8" t="s">
        <v>14</v>
      </c>
      <c r="C5" s="14" t="s">
        <v>20</v>
      </c>
      <c r="D5" s="15">
        <v>42742</v>
      </c>
      <c r="E5" s="14" t="s">
        <v>29</v>
      </c>
      <c r="F5" s="14" t="s">
        <v>30</v>
      </c>
      <c r="G5" s="14" t="s">
        <v>27</v>
      </c>
      <c r="H5" s="16">
        <v>9586.75</v>
      </c>
      <c r="I5" s="16">
        <v>9586.75</v>
      </c>
      <c r="J5" s="15">
        <v>42760</v>
      </c>
      <c r="K5" s="6">
        <f ca="1">IF(ISBLANK(Data7[[#This Row],[Date PIF]]) = TRUE,NOW()-Data7[[#This Row],[Date of Death]],Data7[[#This Row],[Date PIF]]-Data7[[#This Row],[Date of Death]])</f>
        <v>18</v>
      </c>
      <c r="L5" s="12">
        <f>Data7[[#This Row],[Total Sales]]-Data7[[#This Row],[Payments Received to date]]</f>
        <v>0</v>
      </c>
      <c r="M5" s="7">
        <f t="shared" ca="1" si="0"/>
        <v>46051.614982638886</v>
      </c>
    </row>
    <row r="6" spans="1:13">
      <c r="A6" s="13" t="s">
        <v>31</v>
      </c>
      <c r="B6" s="8" t="s">
        <v>14</v>
      </c>
      <c r="C6" s="14" t="s">
        <v>20</v>
      </c>
      <c r="D6" s="15">
        <v>42742</v>
      </c>
      <c r="E6" s="14" t="s">
        <v>32</v>
      </c>
      <c r="F6" s="14" t="s">
        <v>33</v>
      </c>
      <c r="G6" s="14" t="s">
        <v>18</v>
      </c>
      <c r="H6" s="16">
        <v>5405.36</v>
      </c>
      <c r="I6" s="16">
        <v>5405.36</v>
      </c>
      <c r="J6" s="15">
        <v>42751</v>
      </c>
      <c r="K6" s="6">
        <f ca="1">IF(ISBLANK(Data7[[#This Row],[Date PIF]]) = TRUE,NOW()-Data7[[#This Row],[Date of Death]],Data7[[#This Row],[Date PIF]]-Data7[[#This Row],[Date of Death]])</f>
        <v>9</v>
      </c>
      <c r="L6" s="12">
        <f>Data7[[#This Row],[Total Sales]]-Data7[[#This Row],[Payments Received to date]]</f>
        <v>0</v>
      </c>
      <c r="M6" s="7">
        <f t="shared" ca="1" si="0"/>
        <v>46051.614982638886</v>
      </c>
    </row>
  </sheetData>
  <conditionalFormatting sqref="A2:M6">
    <cfRule type="expression" dxfId="15" priority="1">
      <formula>$L2+$J2 = 0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63138EA-BFCF-4608-B312-24A710E68787}">
          <x14:formula1>
            <xm:f>#REF!</xm:f>
          </x14:formula1>
          <xm:sqref>C1:C6</xm:sqref>
        </x14:dataValidation>
        <x14:dataValidation type="list" allowBlank="1" showInputMessage="1" showErrorMessage="1" xr:uid="{4EDE0AC1-6082-4E87-9C23-DBA332547923}">
          <x14:formula1>
            <xm:f>#REF!</xm:f>
          </x14:formula1>
          <xm:sqref>G2:G6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Props1.xml><?xml version="1.0" encoding="utf-8"?>
<ds:datastoreItem xmlns:ds="http://schemas.openxmlformats.org/officeDocument/2006/customXml" ds:itemID="{6E312C3F-4EF5-4F5D-9698-228CC88FEFFF}"/>
</file>

<file path=customXml/itemProps2.xml><?xml version="1.0" encoding="utf-8"?>
<ds:datastoreItem xmlns:ds="http://schemas.openxmlformats.org/officeDocument/2006/customXml" ds:itemID="{1E75F535-B5D7-4F4F-B2D0-F8AD198CB2C3}"/>
</file>

<file path=customXml/itemProps3.xml><?xml version="1.0" encoding="utf-8"?>
<ds:datastoreItem xmlns:ds="http://schemas.openxmlformats.org/officeDocument/2006/customXml" ds:itemID="{822FA678-DC0B-4247-AE72-2D3A88634439}"/>
</file>

<file path=customXml/itemProps4.xml><?xml version="1.0" encoding="utf-8"?>
<ds:datastoreItem xmlns:ds="http://schemas.openxmlformats.org/officeDocument/2006/customXml" ds:itemID="{610A782B-285A-4DB8-B72F-2A3EED81D8B9}"/>
</file>

<file path=customXml/itemProps5.xml><?xml version="1.0" encoding="utf-8"?>
<ds:datastoreItem xmlns:ds="http://schemas.openxmlformats.org/officeDocument/2006/customXml" ds:itemID="{3C72661B-91E4-497B-BEFE-DD6F74F5581B}"/>
</file>

<file path=customXml/itemProps6.xml><?xml version="1.0" encoding="utf-8"?>
<ds:datastoreItem xmlns:ds="http://schemas.openxmlformats.org/officeDocument/2006/customXml" ds:itemID="{5F765D4D-B67C-4DC3-8F85-CA0500BB9AD3}"/>
</file>

<file path=customXml/itemProps7.xml><?xml version="1.0" encoding="utf-8"?>
<ds:datastoreItem xmlns:ds="http://schemas.openxmlformats.org/officeDocument/2006/customXml" ds:itemID="{DCE226DD-274B-44AA-9CCA-0FD9BEDD083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Pike</dc:creator>
  <cp:keywords/>
  <dc:description/>
  <cp:lastModifiedBy/>
  <cp:revision/>
  <dcterms:created xsi:type="dcterms:W3CDTF">2017-03-17T11:33:09Z</dcterms:created>
  <dcterms:modified xsi:type="dcterms:W3CDTF">2026-01-29T19:45:45Z</dcterms:modified>
  <cp:category/>
  <cp:contentStatus/>
</cp:coreProperties>
</file>